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ull" sheetId="1" state="visible" r:id="rId3"/>
    <sheet name="Dashboard" sheetId="2" state="visible" r:id="rId4"/>
    <sheet name="Yield Decomposition" sheetId="3" state="visible" r:id="rId5"/>
    <sheet name="Scenario Simulator" sheetId="4" state="visible" r:id="rId6"/>
    <sheet name="Signal Moni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<sst xmlns="http://schemas.openxmlformats.org/spreadsheetml/2006/main" count="249" uniqueCount="209">
  <si>
    <t xml:space="preserve">BOND MARKET SCENARIO MODEL — DATA PULL INSTRUCTIONS</t>
  </si>
  <si>
    <t xml:space="preserve">HOW TO AUTO-REFRESH THIS DATA</t>
  </si>
  <si>
    <t xml:space="preserve">Method 1: FRED Excel Add-In</t>
  </si>
  <si>
    <t xml:space="preserve">Download from: https://fred.stlouisfed.org/fred-addin/</t>
  </si>
  <si>
    <t xml:space="preserve">After install: FRED tab → Build Dataset → Enter series codes below → Refresh</t>
  </si>
  <si>
    <t xml:space="preserve">Method 2: Power Query (No Add-In)</t>
  </si>
  <si>
    <t xml:space="preserve">Data → Get Data → From Web → Enter URL below → Transform → Load</t>
  </si>
  <si>
    <t xml:space="preserve">Set auto-refresh: Data → Properties → Refresh every X minutes</t>
  </si>
  <si>
    <t xml:space="preserve">FRED SERIES REFERENCE</t>
  </si>
  <si>
    <t xml:space="preserve">Series Name</t>
  </si>
  <si>
    <t xml:space="preserve">FRED Code</t>
  </si>
  <si>
    <t xml:space="preserve">Direct CSV URL</t>
  </si>
  <si>
    <t xml:space="preserve">Frequency</t>
  </si>
  <si>
    <t xml:space="preserve">Unit</t>
  </si>
  <si>
    <t xml:space="preserve">Use In Model</t>
  </si>
  <si>
    <t xml:space="preserve">US 10Y Treasury Yield</t>
  </si>
  <si>
    <t xml:space="preserve">DGS10</t>
  </si>
  <si>
    <t xml:space="preserve">https://fred.stlouisfed.org/graph/fredgraph.csv?id=DGS10</t>
  </si>
  <si>
    <t xml:space="preserve">Daily</t>
  </si>
  <si>
    <t xml:space="preserve">%</t>
  </si>
  <si>
    <t xml:space="preserve">Dashboard, Yield Decomp</t>
  </si>
  <si>
    <t xml:space="preserve">US 2Y Treasury Yield</t>
  </si>
  <si>
    <t xml:space="preserve">DGS2</t>
  </si>
  <si>
    <t xml:space="preserve">https://fred.stlouisfed.org/graph/fredgraph.csv?id=DGS2</t>
  </si>
  <si>
    <t xml:space="preserve">Yield Curve Spread</t>
  </si>
  <si>
    <t xml:space="preserve">10Y-2Y Yield Spread</t>
  </si>
  <si>
    <t xml:space="preserve">T10Y2Y</t>
  </si>
  <si>
    <t xml:space="preserve">https://fred.stlouisfed.org/graph/fredgraph.csv?id=T10Y2Y</t>
  </si>
  <si>
    <t xml:space="preserve">Signal Monitor</t>
  </si>
  <si>
    <t xml:space="preserve">10Y Breakeven Inflation</t>
  </si>
  <si>
    <t xml:space="preserve">T10YIE</t>
  </si>
  <si>
    <t xml:space="preserve">https://fred.stlouisfed.org/graph/fredgraph.csv?id=T10YIE</t>
  </si>
  <si>
    <t xml:space="preserve">Yield Decomp</t>
  </si>
  <si>
    <t xml:space="preserve">10Y TIPS Real Yield</t>
  </si>
  <si>
    <t xml:space="preserve">DFII10</t>
  </si>
  <si>
    <t xml:space="preserve">https://fred.stlouisfed.org/graph/fredgraph.csv?id=DFII10</t>
  </si>
  <si>
    <t xml:space="preserve">Fed Funds Effective Rate</t>
  </si>
  <si>
    <t xml:space="preserve">DFF</t>
  </si>
  <si>
    <t xml:space="preserve">https://fred.stlouisfed.org/graph/fredgraph.csv?id=DFF</t>
  </si>
  <si>
    <t xml:space="preserve">Dashboard</t>
  </si>
  <si>
    <t xml:space="preserve">Brent Crude Oil Price</t>
  </si>
  <si>
    <t xml:space="preserve">DCOILBRENTEU</t>
  </si>
  <si>
    <t xml:space="preserve">https://fred.stlouisfed.org/graph/fredgraph.csv?id=DCOILBRENTEU</t>
  </si>
  <si>
    <t xml:space="preserve">$/bbl</t>
  </si>
  <si>
    <t xml:space="preserve">Scenario Sim</t>
  </si>
  <si>
    <t xml:space="preserve">WTI Crude Oil Price</t>
  </si>
  <si>
    <t xml:space="preserve">DCOILWTICO</t>
  </si>
  <si>
    <t xml:space="preserve">https://fred.stlouisfed.org/graph/fredgraph.csv?id=DCOILWTICO</t>
  </si>
  <si>
    <t xml:space="preserve">US CPI All Urban (SA)</t>
  </si>
  <si>
    <t xml:space="preserve">CPIAUCSL</t>
  </si>
  <si>
    <t xml:space="preserve">https://fred.stlouisfed.org/graph/fredgraph.csv?id=CPIAUCSL</t>
  </si>
  <si>
    <t xml:space="preserve">Monthly</t>
  </si>
  <si>
    <t xml:space="preserve">Index</t>
  </si>
  <si>
    <t xml:space="preserve">Inflation Track</t>
  </si>
  <si>
    <t xml:space="preserve">US PCE Price Index</t>
  </si>
  <si>
    <t xml:space="preserve">PCEPI</t>
  </si>
  <si>
    <t xml:space="preserve">https://fred.stlouisfed.org/graph/fredgraph.csv?id=PCEPI</t>
  </si>
  <si>
    <t xml:space="preserve">US Real GDP Growth</t>
  </si>
  <si>
    <t xml:space="preserve">A191RL1Q225SBEA</t>
  </si>
  <si>
    <t xml:space="preserve">https://fred.stlouisfed.org/graph/fredgraph.csv?id=A191RL1Q225SBEA</t>
  </si>
  <si>
    <t xml:space="preserve">Quarterly</t>
  </si>
  <si>
    <t xml:space="preserve">Growth Track</t>
  </si>
  <si>
    <t xml:space="preserve">UK 10Y Gilt Yield</t>
  </si>
  <si>
    <t xml:space="preserve">IRLTLT01GBM156N</t>
  </si>
  <si>
    <t xml:space="preserve">https://fred.stlouisfed.org/graph/fredgraph.csv?id=IRLTLT01GBM156N</t>
  </si>
  <si>
    <t xml:space="preserve">Intl Compare</t>
  </si>
  <si>
    <t xml:space="preserve">Germany 10Y Bund Yield</t>
  </si>
  <si>
    <t xml:space="preserve">IRLTLT01DEM156N</t>
  </si>
  <si>
    <t xml:space="preserve">https://fred.stlouisfed.org/graph/fredgraph.csv?id=IRLTLT01DEM156N</t>
  </si>
  <si>
    <t xml:space="preserve">Brent-WTI Spread</t>
  </si>
  <si>
    <t xml:space="preserve">—</t>
  </si>
  <si>
    <t xml:space="preserve">Brent - WTI (calculated in Dashboard)</t>
  </si>
  <si>
    <t xml:space="preserve">Stress Indicator</t>
  </si>
  <si>
    <t xml:space="preserve">US Import Price Index</t>
  </si>
  <si>
    <t xml:space="preserve">IR</t>
  </si>
  <si>
    <t xml:space="preserve">https://fred.stlouisfed.org/graph/fredgraph.csv?id=IR</t>
  </si>
  <si>
    <t xml:space="preserve">Inflation Lead</t>
  </si>
  <si>
    <t xml:space="preserve">COMBINED DOWNLOAD URL (Multiple Series)</t>
  </si>
  <si>
    <t xml:space="preserve">https://fred.stlouisfed.org/graph/fredgraph.csv?id=DGS10,DGS2,T10Y2Y,T10YIE,DFII10,DFF,DCOILBRENTEU,DCOILWTICO</t>
  </si>
  <si>
    <t xml:space="preserve">Custom date range: append &amp;cosd=2025-01-01&amp;coed=2026-12-31</t>
  </si>
  <si>
    <t xml:space="preserve">BOND MARKET DASHBOARD</t>
  </si>
  <si>
    <t xml:space="preserve">Last updated: Enter date of last data refresh</t>
  </si>
  <si>
    <t xml:space="preserve">CURRENT MARKET SNAPSHOT</t>
  </si>
  <si>
    <t xml:space="preserve">Metric</t>
  </si>
  <si>
    <t xml:space="preserve">Current Value</t>
  </si>
  <si>
    <t xml:space="preserve">Pre-War (Feb 27)</t>
  </si>
  <si>
    <t xml:space="preserve">Change</t>
  </si>
  <si>
    <t xml:space="preserve">Signal</t>
  </si>
  <si>
    <t xml:space="preserve">US 10Y Yield (%)</t>
  </si>
  <si>
    <t xml:space="preserve">UK 10Y Gilt (%)</t>
  </si>
  <si>
    <t xml:space="preserve">German 10Y Bund (%)</t>
  </si>
  <si>
    <t xml:space="preserve">Japan 10Y JGB (%)</t>
  </si>
  <si>
    <t xml:space="preserve">Brent Crude ($/bbl)</t>
  </si>
  <si>
    <t xml:space="preserve">US 2Y Yield (%)</t>
  </si>
  <si>
    <t xml:space="preserve">10Y-2Y Spread (bps)</t>
  </si>
  <si>
    <t xml:space="preserve">Breakeven Inflation (%)</t>
  </si>
  <si>
    <t xml:space="preserve">Fed Funds Rate (%)</t>
  </si>
  <si>
    <t xml:space="preserve">KEY INTERPRETATION RULES</t>
  </si>
  <si>
    <t xml:space="preserve">If yields rise AND breakeven inflation rises:</t>
  </si>
  <si>
    <t xml:space="preserve">Inflation is winning the tug of war → Higher for longer rates</t>
  </si>
  <si>
    <t xml:space="preserve">If yields fall AND growth data weakens:</t>
  </si>
  <si>
    <t xml:space="preserve">Recession fears dominating → Potential for rate cuts</t>
  </si>
  <si>
    <t xml:space="preserve">If 2Y rises faster than 10Y (bear flattening):</t>
  </si>
  <si>
    <t xml:space="preserve">Market expects hawkish policy response → Watch for rate hikes</t>
  </si>
  <si>
    <t xml:space="preserve">If Brent &gt; $120 AND breakeven &gt; 3%:</t>
  </si>
  <si>
    <t xml:space="preserve">DANGER ZONE: Inflation expectations unanchoring</t>
  </si>
  <si>
    <t xml:space="preserve">If 10Y-2Y spread goes negative:</t>
  </si>
  <si>
    <t xml:space="preserve">Yield curve inversion → Recession signal (6-24 month lead)</t>
  </si>
  <si>
    <t xml:space="preserve">If Brent &lt; $80 AND yields falling:</t>
  </si>
  <si>
    <t xml:space="preserve">Conflict resolution priced in → Risk-on environment returning</t>
  </si>
  <si>
    <t xml:space="preserve">YIELD DECOMPOSITION: REAL YIELD + INFLATION EXPECTATIONS</t>
  </si>
  <si>
    <t xml:space="preserve">10Y Nominal Yield ≈ 10Y Real Yield (TIPS) + 10Y Breakeven Inflation + Term Premium</t>
  </si>
  <si>
    <t xml:space="preserve">Date</t>
  </si>
  <si>
    <t xml:space="preserve">Nominal 10Y (%)</t>
  </si>
  <si>
    <t xml:space="preserve">Real 10Y / TIPS (%)</t>
  </si>
  <si>
    <t xml:space="preserve">Breakeven Infl (%)</t>
  </si>
  <si>
    <t xml:space="preserve">Implied Term Premium (%)</t>
  </si>
  <si>
    <t xml:space="preserve">Inflation Dominance?</t>
  </si>
  <si>
    <t xml:space="preserve">2025-12-31</t>
  </si>
  <si>
    <t xml:space="preserve">2026-01-31</t>
  </si>
  <si>
    <t xml:space="preserve">2026-02-27</t>
  </si>
  <si>
    <t xml:space="preserve">2026-02-28</t>
  </si>
  <si>
    <t xml:space="preserve">2026-03-10</t>
  </si>
  <si>
    <t xml:space="preserve">2026-03-23</t>
  </si>
  <si>
    <t xml:space="preserve">2026-03-31</t>
  </si>
  <si>
    <t xml:space="preserve">2026-04-07</t>
  </si>
  <si>
    <t xml:space="preserve">INTERPRETATION</t>
  </si>
  <si>
    <t xml:space="preserve">If breakeven inflation is rising faster than the real yield → inflation fears dominate</t>
  </si>
  <si>
    <t xml:space="preserve">If real yield is rising while breakeven is stable → growth/term premium is the driver</t>
  </si>
  <si>
    <t xml:space="preserve">If breakeven &gt; 3.0% → inflation expectations may be unanchoring (DANGER)</t>
  </si>
  <si>
    <t xml:space="preserve">STAGFLATION SCENARIO SIMULATOR</t>
  </si>
  <si>
    <t xml:space="preserve">Change the YELLOW cells to run different scenarios. All other cells auto-calculate.</t>
  </si>
  <si>
    <t xml:space="preserve">SCENARIO INPUTS</t>
  </si>
  <si>
    <t xml:space="preserve">Brent Crude Oil Price ($/bbl)</t>
  </si>
  <si>
    <t xml:space="preserve">Source: Current market price</t>
  </si>
  <si>
    <t xml:space="preserve">Conflict Duration (months remaining)</t>
  </si>
  <si>
    <t xml:space="preserve">Assumption: 1-12 months</t>
  </si>
  <si>
    <t xml:space="preserve">Hormuz Flow Restoration (%)</t>
  </si>
  <si>
    <t xml:space="preserve">0%=fully closed, 100%=fully open</t>
  </si>
  <si>
    <t xml:space="preserve">OPEC+ Spare Capacity Response (mb/d)</t>
  </si>
  <si>
    <t xml:space="preserve">OPEC+ pledge: 206k bpd</t>
  </si>
  <si>
    <t xml:space="preserve">SPR Release Rate (mb/d)</t>
  </si>
  <si>
    <t xml:space="preserve">Source: DOE announcements</t>
  </si>
  <si>
    <t xml:space="preserve">Pre-War Baseline CPI YoY (%)</t>
  </si>
  <si>
    <t xml:space="preserve">Source: BLS Feb 2026</t>
  </si>
  <si>
    <t xml:space="preserve">Pre-War 10Y Yield (%)</t>
  </si>
  <si>
    <t xml:space="preserve">Source: FRED DGS10 Feb 27</t>
  </si>
  <si>
    <t xml:space="preserve">Pre-War GDP Growth (%)</t>
  </si>
  <si>
    <t xml:space="preserve">Source: FOMC March 2026 SEP</t>
  </si>
  <si>
    <t xml:space="preserve">Inflation-to-Yield Beta</t>
  </si>
  <si>
    <t xml:space="preserve">Historical sensitivity estimate</t>
  </si>
  <si>
    <t xml:space="preserve">Oil-to-CPI Passthrough Coefficient</t>
  </si>
  <si>
    <t xml:space="preserve">Each $10/bbl ≈ 0.4pp CPI</t>
  </si>
  <si>
    <t xml:space="preserve">Energy Share of CPI (%)</t>
  </si>
  <si>
    <t xml:space="preserve">Source: BLS CPI weights</t>
  </si>
  <si>
    <t xml:space="preserve">SCENARIO OUTPUTS (Auto-Calculated)</t>
  </si>
  <si>
    <t xml:space="preserve">Oil Price Change from Baseline ($)</t>
  </si>
  <si>
    <t xml:space="preserve">Estimated CPI Impact (pp)</t>
  </si>
  <si>
    <t xml:space="preserve">Projected CPI YoY (%)</t>
  </si>
  <si>
    <t xml:space="preserve">Projected 10Y Yield Change (pp)</t>
  </si>
  <si>
    <t xml:space="preserve">Projected 10Y Yield (%)</t>
  </si>
  <si>
    <t xml:space="preserve">GDP Growth Drag from Energy Shock (pp)</t>
  </si>
  <si>
    <t xml:space="preserve">Projected GDP Growth (%)</t>
  </si>
  <si>
    <t xml:space="preserve">Net Supply Disruption (mb/d)</t>
  </si>
  <si>
    <t xml:space="preserve">Cumulative Supply Lost (million bbl)</t>
  </si>
  <si>
    <t xml:space="preserve">Stagflation Score (Inflation Signal - Growth Signal)</t>
  </si>
  <si>
    <t xml:space="preserve">SCENARIO INTERPRETATION</t>
  </si>
  <si>
    <t xml:space="preserve">PRE-BUILT SCENARIOS (Copy values to yellow cells above)</t>
  </si>
  <si>
    <t xml:space="preserve">Scenario</t>
  </si>
  <si>
    <t xml:space="preserve">Oil Price</t>
  </si>
  <si>
    <t xml:space="preserve">Duration (mo)</t>
  </si>
  <si>
    <t xml:space="preserve">Hormuz Flow (%)</t>
  </si>
  <si>
    <t xml:space="preserve">Description</t>
  </si>
  <si>
    <t xml:space="preserve">Quick Resolution</t>
  </si>
  <si>
    <t xml:space="preserve">Ceasefire within weeks, Hormuz partially reopens</t>
  </si>
  <si>
    <t xml:space="preserve">Base Case (Current)</t>
  </si>
  <si>
    <t xml:space="preserve">Conflict continues into summer, minimal flow</t>
  </si>
  <si>
    <t xml:space="preserve">Prolonged Closure</t>
  </si>
  <si>
    <t xml:space="preserve">Full closure through 2026, $130+ oil</t>
  </si>
  <si>
    <t xml:space="preserve">Escalation</t>
  </si>
  <si>
    <t xml:space="preserve">War expands, complete Hormuz shutdown, $150+ oil</t>
  </si>
  <si>
    <t xml:space="preserve">OECD Downside</t>
  </si>
  <si>
    <t xml:space="preserve">OECD worst-case: -0.5% GDP, +0.9pp inflation</t>
  </si>
  <si>
    <t xml:space="preserve">INFLATION vs RECESSION SIGNAL MONITOR</t>
  </si>
  <si>
    <t xml:space="preserve">INFLATION SIGNALS (Higher = more inflationary)</t>
  </si>
  <si>
    <t xml:space="preserve">Threshold</t>
  </si>
  <si>
    <t xml:space="preserve">Triggered?</t>
  </si>
  <si>
    <t xml:space="preserve">Weight</t>
  </si>
  <si>
    <t xml:space="preserve">10Y Breakeven Inflation &gt; 2.5%</t>
  </si>
  <si>
    <t xml:space="preserve">Brent Crude &gt; $100/bbl</t>
  </si>
  <si>
    <t xml:space="preserve">CPI YoY &gt; Fed Target (2.0%)</t>
  </si>
  <si>
    <t xml:space="preserve">Import Prices MoM &gt; 0.5%</t>
  </si>
  <si>
    <t xml:space="preserve">OECD Inflation Revision &gt; +1pp</t>
  </si>
  <si>
    <t xml:space="preserve">2Y Yield Rising Faster Than 10Y</t>
  </si>
  <si>
    <t xml:space="preserve">Manual check</t>
  </si>
  <si>
    <t xml:space="preserve">INFLATION SCORE</t>
  </si>
  <si>
    <t xml:space="preserve">/ 6</t>
  </si>
  <si>
    <t xml:space="preserve">RECESSION SIGNALS (Higher = more recessionary)</t>
  </si>
  <si>
    <t xml:space="preserve">10Y-2Y Spread &lt; 0 (Inversion)</t>
  </si>
  <si>
    <t xml:space="preserve">OECD Growth Revision &lt; -0.3pp</t>
  </si>
  <si>
    <t xml:space="preserve">Consumer Confidence Below Avg</t>
  </si>
  <si>
    <t xml:space="preserve">Initial Jobless Claims &gt; 250k</t>
  </si>
  <si>
    <t xml:space="preserve">ISM Manufacturing &lt; 50</t>
  </si>
  <si>
    <t xml:space="preserve">Oil Demand Destruction Visible</t>
  </si>
  <si>
    <t xml:space="preserve">RECESSION SCORE</t>
  </si>
  <si>
    <t xml:space="preserve">NET MARKET REGIME VERDICT</t>
  </si>
  <si>
    <t xml:space="preserve">Inflation Score - Recession Score</t>
  </si>
  <si>
    <t xml:space="preserve">Verdict</t>
  </si>
  <si>
    <t xml:space="preserve">RECOMMENDED POSITIONING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</si>
</sst>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+0.00;\-0.00;0.00"/>
    <numFmt numFmtId="167" formatCode="0"/>
    <numFmt numFmtId="168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555555"/>
      <rgbColor rgb="FF969696"/>
      <rgbColor rgb="FF1A5276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62"/>
    <col collapsed="false" customWidth="true" hidden="false" outlineLevel="0" max="6" min="4" style="1" width="2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</row>
    <row r="14" customFormat="false" ht="15" hidden="false" customHeight="true" outlineLevel="0" collapsed="false">
      <c r="A14" s="6" t="s">
        <v>15</v>
      </c>
      <c r="B14" s="7" t="s">
        <v>16</v>
      </c>
      <c r="C14" s="6" t="s">
        <v>17</v>
      </c>
      <c r="D14" s="6" t="s">
        <v>18</v>
      </c>
      <c r="E14" s="6" t="s">
        <v>19</v>
      </c>
      <c r="F14" s="6" t="s">
        <v>20</v>
      </c>
    </row>
    <row r="15" customFormat="false" ht="15" hidden="false" customHeight="true" outlineLevel="0" collapsed="false">
      <c r="A15" s="6" t="s">
        <v>21</v>
      </c>
      <c r="B15" s="7" t="s">
        <v>22</v>
      </c>
      <c r="C15" s="6" t="s">
        <v>23</v>
      </c>
      <c r="D15" s="6" t="s">
        <v>18</v>
      </c>
      <c r="E15" s="6" t="s">
        <v>19</v>
      </c>
      <c r="F15" s="6" t="s">
        <v>24</v>
      </c>
    </row>
    <row r="16" customFormat="false" ht="15" hidden="false" customHeight="true" outlineLevel="0" collapsed="false">
      <c r="A16" s="6" t="s">
        <v>25</v>
      </c>
      <c r="B16" s="7" t="s">
        <v>26</v>
      </c>
      <c r="C16" s="6" t="s">
        <v>27</v>
      </c>
      <c r="D16" s="6" t="s">
        <v>18</v>
      </c>
      <c r="E16" s="6" t="s">
        <v>19</v>
      </c>
      <c r="F16" s="6" t="s">
        <v>28</v>
      </c>
    </row>
    <row r="17" customFormat="false" ht="15" hidden="false" customHeight="true" outlineLevel="0" collapsed="false">
      <c r="A17" s="6" t="s">
        <v>29</v>
      </c>
      <c r="B17" s="7" t="s">
        <v>30</v>
      </c>
      <c r="C17" s="6" t="s">
        <v>31</v>
      </c>
      <c r="D17" s="6" t="s">
        <v>18</v>
      </c>
      <c r="E17" s="6" t="s">
        <v>19</v>
      </c>
      <c r="F17" s="6" t="s">
        <v>32</v>
      </c>
    </row>
    <row r="18" customFormat="false" ht="15" hidden="false" customHeight="true" outlineLevel="0" collapsed="false">
      <c r="A18" s="6" t="s">
        <v>33</v>
      </c>
      <c r="B18" s="7" t="s">
        <v>34</v>
      </c>
      <c r="C18" s="6" t="s">
        <v>35</v>
      </c>
      <c r="D18" s="6" t="s">
        <v>18</v>
      </c>
      <c r="E18" s="6" t="s">
        <v>19</v>
      </c>
      <c r="F18" s="6" t="s">
        <v>32</v>
      </c>
    </row>
    <row r="19" customFormat="false" ht="15" hidden="false" customHeight="true" outlineLevel="0" collapsed="false">
      <c r="A19" s="6" t="s">
        <v>36</v>
      </c>
      <c r="B19" s="7" t="s">
        <v>37</v>
      </c>
      <c r="C19" s="6" t="s">
        <v>38</v>
      </c>
      <c r="D19" s="6" t="s">
        <v>18</v>
      </c>
      <c r="E19" s="6" t="s">
        <v>19</v>
      </c>
      <c r="F19" s="6" t="s">
        <v>39</v>
      </c>
    </row>
    <row r="20" customFormat="false" ht="15" hidden="false" customHeight="true" outlineLevel="0" collapsed="false">
      <c r="A20" s="6" t="s">
        <v>40</v>
      </c>
      <c r="B20" s="7" t="s">
        <v>41</v>
      </c>
      <c r="C20" s="6" t="s">
        <v>42</v>
      </c>
      <c r="D20" s="6" t="s">
        <v>18</v>
      </c>
      <c r="E20" s="6" t="s">
        <v>43</v>
      </c>
      <c r="F20" s="6" t="s">
        <v>44</v>
      </c>
    </row>
    <row r="21" customFormat="false" ht="15" hidden="false" customHeight="true" outlineLevel="0" collapsed="false">
      <c r="A21" s="6" t="s">
        <v>45</v>
      </c>
      <c r="B21" s="7" t="s">
        <v>46</v>
      </c>
      <c r="C21" s="6" t="s">
        <v>47</v>
      </c>
      <c r="D21" s="6" t="s">
        <v>18</v>
      </c>
      <c r="E21" s="6" t="s">
        <v>43</v>
      </c>
      <c r="F21" s="6" t="s">
        <v>44</v>
      </c>
    </row>
    <row r="22" customFormat="false" ht="15" hidden="false" customHeight="true" outlineLevel="0" collapsed="false">
      <c r="A22" s="6" t="s">
        <v>48</v>
      </c>
      <c r="B22" s="7" t="s">
        <v>49</v>
      </c>
      <c r="C22" s="6" t="s">
        <v>50</v>
      </c>
      <c r="D22" s="6" t="s">
        <v>51</v>
      </c>
      <c r="E22" s="6" t="s">
        <v>52</v>
      </c>
      <c r="F22" s="6" t="s">
        <v>53</v>
      </c>
    </row>
    <row r="23" customFormat="false" ht="15" hidden="false" customHeight="true" outlineLevel="0" collapsed="false">
      <c r="A23" s="6" t="s">
        <v>54</v>
      </c>
      <c r="B23" s="7" t="s">
        <v>55</v>
      </c>
      <c r="C23" s="6" t="s">
        <v>56</v>
      </c>
      <c r="D23" s="6" t="s">
        <v>51</v>
      </c>
      <c r="E23" s="6" t="s">
        <v>52</v>
      </c>
      <c r="F23" s="6" t="s">
        <v>53</v>
      </c>
    </row>
    <row r="24" customFormat="false" ht="15" hidden="false" customHeight="true" outlineLevel="0" collapsed="false">
      <c r="A24" s="6" t="s">
        <v>57</v>
      </c>
      <c r="B24" s="7" t="s">
        <v>58</v>
      </c>
      <c r="C24" s="6" t="s">
        <v>59</v>
      </c>
      <c r="D24" s="6" t="s">
        <v>60</v>
      </c>
      <c r="E24" s="6" t="s">
        <v>19</v>
      </c>
      <c r="F24" s="6" t="s">
        <v>61</v>
      </c>
    </row>
    <row r="25" customFormat="false" ht="15" hidden="false" customHeight="true" outlineLevel="0" collapsed="false">
      <c r="A25" s="6" t="s">
        <v>62</v>
      </c>
      <c r="B25" s="7" t="s">
        <v>63</v>
      </c>
      <c r="C25" s="6" t="s">
        <v>64</v>
      </c>
      <c r="D25" s="6" t="s">
        <v>51</v>
      </c>
      <c r="E25" s="6" t="s">
        <v>19</v>
      </c>
      <c r="F25" s="6" t="s">
        <v>65</v>
      </c>
    </row>
    <row r="26" customFormat="false" ht="15" hidden="false" customHeight="true" outlineLevel="0" collapsed="false">
      <c r="A26" s="6" t="s">
        <v>66</v>
      </c>
      <c r="B26" s="7" t="s">
        <v>67</v>
      </c>
      <c r="C26" s="6" t="s">
        <v>68</v>
      </c>
      <c r="D26" s="6" t="s">
        <v>51</v>
      </c>
      <c r="E26" s="6" t="s">
        <v>19</v>
      </c>
      <c r="F26" s="6" t="s">
        <v>65</v>
      </c>
    </row>
    <row r="27" customFormat="false" ht="15" hidden="false" customHeight="true" outlineLevel="0" collapsed="false">
      <c r="A27" s="6" t="s">
        <v>69</v>
      </c>
      <c r="B27" s="7" t="s">
        <v>70</v>
      </c>
      <c r="C27" s="6" t="s">
        <v>71</v>
      </c>
      <c r="D27" s="6" t="s">
        <v>18</v>
      </c>
      <c r="E27" s="6" t="s">
        <v>43</v>
      </c>
      <c r="F27" s="6" t="s">
        <v>72</v>
      </c>
    </row>
    <row r="28" customFormat="false" ht="15" hidden="false" customHeight="true" outlineLevel="0" collapsed="false">
      <c r="A28" s="6" t="s">
        <v>73</v>
      </c>
      <c r="B28" s="7" t="s">
        <v>74</v>
      </c>
      <c r="C28" s="6" t="s">
        <v>75</v>
      </c>
      <c r="D28" s="6" t="s">
        <v>51</v>
      </c>
      <c r="E28" s="6" t="s">
        <v>52</v>
      </c>
      <c r="F28" s="6" t="s">
        <v>76</v>
      </c>
    </row>
    <row r="30" customFormat="false" ht="15" hidden="false" customHeight="true" outlineLevel="0" collapsed="false">
      <c r="A30" s="3" t="s">
        <v>77</v>
      </c>
    </row>
    <row r="31" customFormat="false" ht="15" hidden="false" customHeight="true" outlineLevel="0" collapsed="false">
      <c r="A31" s="8" t="s">
        <v>78</v>
      </c>
    </row>
    <row r="33" customFormat="false" ht="15" hidden="false" customHeight="true" outlineLevel="0" collapsed="false">
      <c r="A33" s="9" t="s">
        <v>79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22"/>
  </cols>
  <sheetData>
    <row r="1" customFormat="false" ht="17.25" hidden="false" customHeight="true" outlineLevel="0" collapsed="false">
      <c r="A1" s="2" t="s">
        <v>80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81</v>
      </c>
    </row>
    <row r="4" customFormat="false" ht="15" hidden="false" customHeight="true" outlineLevel="0" collapsed="false">
      <c r="A4" s="3" t="s">
        <v>82</v>
      </c>
    </row>
    <row r="5" customFormat="false" ht="15" hidden="false" customHeight="true" outlineLevel="0" collapsed="false">
      <c r="A5" s="5" t="s">
        <v>83</v>
      </c>
      <c r="B5" s="5" t="s">
        <v>84</v>
      </c>
      <c r="C5" s="5" t="s">
        <v>85</v>
      </c>
      <c r="D5" s="5" t="s">
        <v>86</v>
      </c>
      <c r="E5" s="5" t="s">
        <v>87</v>
      </c>
    </row>
    <row r="6" customFormat="false" ht="15" hidden="false" customHeight="true" outlineLevel="0" collapsed="false">
      <c r="A6" s="11" t="s">
        <v>88</v>
      </c>
      <c r="B6" s="12" t="n">
        <v>4.34</v>
      </c>
      <c r="C6" s="12" t="n">
        <v>3.98</v>
      </c>
      <c r="D6" s="13" t="n">
        <f aca="false">B6-C6</f>
        <v>0.36</v>
      </c>
      <c r="E6" s="14" t="str">
        <f aca="false">IF(D6&gt;0,"↑ RISING",IF(D6&lt;0,"↓ FALLING","— FLAT"))</f>
        <v>↑ RISING</v>
      </c>
    </row>
    <row r="7" customFormat="false" ht="15" hidden="false" customHeight="true" outlineLevel="0" collapsed="false">
      <c r="A7" s="11" t="s">
        <v>89</v>
      </c>
      <c r="B7" s="12" t="n">
        <v>4.85</v>
      </c>
      <c r="C7" s="12" t="n">
        <v>4.5</v>
      </c>
      <c r="D7" s="13" t="n">
        <f aca="false">B7-C7</f>
        <v>0.35</v>
      </c>
      <c r="E7" s="14" t="str">
        <f aca="false">IF(D7&gt;0,"↑ RISING",IF(D7&lt;0,"↓ FALLING","— FLAT"))</f>
        <v>↑ RISING</v>
      </c>
    </row>
    <row r="8" customFormat="false" ht="15" hidden="false" customHeight="true" outlineLevel="0" collapsed="false">
      <c r="A8" s="11" t="s">
        <v>90</v>
      </c>
      <c r="B8" s="12" t="n">
        <v>3</v>
      </c>
      <c r="C8" s="12" t="n">
        <v>2.65</v>
      </c>
      <c r="D8" s="13" t="n">
        <f aca="false">B8-C8</f>
        <v>0.35</v>
      </c>
      <c r="E8" s="14" t="str">
        <f aca="false">IF(D8&gt;0,"↑ RISING",IF(D8&lt;0,"↓ FALLING","— FLAT"))</f>
        <v>↑ RISING</v>
      </c>
    </row>
    <row r="9" customFormat="false" ht="15" hidden="false" customHeight="true" outlineLevel="0" collapsed="false">
      <c r="A9" s="11" t="s">
        <v>91</v>
      </c>
      <c r="B9" s="12" t="n">
        <v>2.15</v>
      </c>
      <c r="C9" s="12" t="n">
        <v>1.5</v>
      </c>
      <c r="D9" s="13" t="n">
        <f aca="false">B9-C9</f>
        <v>0.65</v>
      </c>
      <c r="E9" s="14" t="str">
        <f aca="false">IF(D9&gt;0,"↑ RISING",IF(D9&lt;0,"↓ FALLING","— FLAT"))</f>
        <v>↑ RISING</v>
      </c>
    </row>
    <row r="10" customFormat="false" ht="15" hidden="false" customHeight="true" outlineLevel="0" collapsed="false">
      <c r="A10" s="11" t="s">
        <v>92</v>
      </c>
      <c r="B10" s="12" t="n">
        <v>110</v>
      </c>
      <c r="C10" s="12" t="n">
        <v>72</v>
      </c>
      <c r="D10" s="13" t="n">
        <f aca="false">B10-C10</f>
        <v>38</v>
      </c>
      <c r="E10" s="14" t="str">
        <f aca="false">IF(D10&gt;0,"↑ RISING",IF(D10&lt;0,"↓ FALLING","— FLAT"))</f>
        <v>↑ RISING</v>
      </c>
    </row>
    <row r="11" customFormat="false" ht="15" hidden="false" customHeight="true" outlineLevel="0" collapsed="false">
      <c r="A11" s="11" t="s">
        <v>93</v>
      </c>
      <c r="B11" s="12" t="n">
        <v>4.1</v>
      </c>
      <c r="C11" s="12" t="n">
        <v>3.75</v>
      </c>
      <c r="D11" s="13" t="n">
        <f aca="false">B11-C11</f>
        <v>0.35</v>
      </c>
      <c r="E11" s="14" t="str">
        <f aca="false">IF(D11&gt;0,"↑ RISING",IF(D11&lt;0,"↓ FALLING","— FLAT"))</f>
        <v>↑ RISING</v>
      </c>
    </row>
    <row r="12" customFormat="false" ht="15" hidden="false" customHeight="true" outlineLevel="0" collapsed="false">
      <c r="A12" s="11" t="s">
        <v>94</v>
      </c>
      <c r="B12" s="15" t="n">
        <f aca="false">(B6-B11)*100</f>
        <v>24</v>
      </c>
      <c r="C12" s="15" t="n">
        <f aca="false">(C6-C11)*100</f>
        <v>23</v>
      </c>
      <c r="D12" s="13" t="n">
        <f aca="false">B12-C12</f>
        <v>1.00000000000002</v>
      </c>
      <c r="E12" s="14" t="str">
        <f aca="false">IF(D12&gt;0,"↑ RISING",IF(D12&lt;0,"↓ FALLING","— FLAT"))</f>
        <v>↑ RISING</v>
      </c>
    </row>
    <row r="13" customFormat="false" ht="15" hidden="false" customHeight="true" outlineLevel="0" collapsed="false">
      <c r="A13" s="11" t="s">
        <v>95</v>
      </c>
      <c r="B13" s="12" t="n">
        <v>2.8</v>
      </c>
      <c r="C13" s="12" t="n">
        <v>2.4</v>
      </c>
      <c r="D13" s="13" t="n">
        <f aca="false">B13-C13</f>
        <v>0.4</v>
      </c>
      <c r="E13" s="14" t="str">
        <f aca="false">IF(D13&gt;0,"↑ RISING",IF(D13&lt;0,"↓ FALLING","— FLAT"))</f>
        <v>↑ RISING</v>
      </c>
    </row>
    <row r="14" customFormat="false" ht="15" hidden="false" customHeight="true" outlineLevel="0" collapsed="false">
      <c r="A14" s="11" t="s">
        <v>96</v>
      </c>
      <c r="B14" s="12" t="n">
        <v>3.625</v>
      </c>
      <c r="C14" s="12" t="n">
        <v>3.625</v>
      </c>
      <c r="D14" s="14"/>
      <c r="E14" s="14" t="str">
        <f aca="false">IF(D14&gt;0,"↑ RISING",IF(D14&lt;0,"↓ FALLING","— FLAT"))</f>
        <v>— FLAT</v>
      </c>
    </row>
    <row r="17" customFormat="false" ht="15" hidden="false" customHeight="true" outlineLevel="0" collapsed="false">
      <c r="A17" s="3" t="s">
        <v>97</v>
      </c>
    </row>
    <row r="18" customFormat="false" ht="15" hidden="false" customHeight="true" outlineLevel="0" collapsed="false">
      <c r="A18" s="11" t="s">
        <v>98</v>
      </c>
      <c r="B18" s="6" t="s">
        <v>99</v>
      </c>
      <c r="C18" s="6"/>
      <c r="D18" s="6"/>
      <c r="E18" s="6"/>
    </row>
    <row r="19" customFormat="false" ht="15" hidden="false" customHeight="true" outlineLevel="0" collapsed="false">
      <c r="A19" s="11" t="s">
        <v>100</v>
      </c>
      <c r="B19" s="6" t="s">
        <v>101</v>
      </c>
      <c r="C19" s="6"/>
      <c r="D19" s="6"/>
      <c r="E19" s="6"/>
    </row>
    <row r="20" customFormat="false" ht="15" hidden="false" customHeight="true" outlineLevel="0" collapsed="false">
      <c r="A20" s="11" t="s">
        <v>102</v>
      </c>
      <c r="B20" s="6" t="s">
        <v>103</v>
      </c>
      <c r="C20" s="6"/>
      <c r="D20" s="6"/>
      <c r="E20" s="6"/>
    </row>
    <row r="21" customFormat="false" ht="15" hidden="false" customHeight="true" outlineLevel="0" collapsed="false">
      <c r="A21" s="11" t="s">
        <v>104</v>
      </c>
      <c r="B21" s="6" t="s">
        <v>105</v>
      </c>
      <c r="C21" s="6"/>
      <c r="D21" s="6"/>
      <c r="E21" s="6"/>
    </row>
    <row r="22" customFormat="false" ht="15" hidden="false" customHeight="true" outlineLevel="0" collapsed="false">
      <c r="A22" s="11" t="s">
        <v>106</v>
      </c>
      <c r="B22" s="6" t="s">
        <v>107</v>
      </c>
      <c r="C22" s="6"/>
      <c r="D22" s="6"/>
      <c r="E22" s="6"/>
    </row>
    <row r="23" customFormat="false" ht="15" hidden="false" customHeight="true" outlineLevel="0" collapsed="false">
      <c r="A23" s="11" t="s">
        <v>108</v>
      </c>
      <c r="B23" s="6" t="s">
        <v>109</v>
      </c>
      <c r="C23" s="6"/>
      <c r="D23" s="6"/>
      <c r="E23" s="6"/>
    </row>
  </sheetData>
  <mergeCells count="7">
    <mergeCell ref="A1:F1"/>
    <mergeCell ref="B18:E18"/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4"/>
  </cols>
  <sheetData>
    <row r="1" customFormat="false" ht="17.2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16" t="s">
        <v>111</v>
      </c>
    </row>
    <row r="5" customFormat="false" ht="26.25" hidden="false" customHeight="true" outlineLevel="0" collapsed="false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</row>
    <row r="6" customFormat="false" ht="15" hidden="false" customHeight="true" outlineLevel="0" collapsed="false">
      <c r="A6" s="17" t="s">
        <v>118</v>
      </c>
      <c r="B6" s="12" t="n">
        <v>3.88</v>
      </c>
      <c r="C6" s="12" t="n">
        <v>1.82</v>
      </c>
      <c r="D6" s="12" t="n">
        <v>2.06</v>
      </c>
      <c r="E6" s="18" t="n">
        <f aca="false">B6-C6-D6</f>
        <v>0</v>
      </c>
      <c r="F6" s="14" t="str">
        <f aca="false">IF(D6&gt;D6,"YES - Breakeven rising","NO - Real yield driving")</f>
        <v>NO - Real yield driving</v>
      </c>
    </row>
    <row r="7" customFormat="false" ht="15" hidden="false" customHeight="true" outlineLevel="0" collapsed="false">
      <c r="A7" s="17" t="s">
        <v>119</v>
      </c>
      <c r="B7" s="12" t="n">
        <v>3.95</v>
      </c>
      <c r="C7" s="12" t="n">
        <v>1.85</v>
      </c>
      <c r="D7" s="12" t="n">
        <v>2.1</v>
      </c>
      <c r="E7" s="18" t="n">
        <f aca="false">B7-C7-D7</f>
        <v>0</v>
      </c>
      <c r="F7" s="14" t="str">
        <f aca="false">IF(D7&gt;D6,"YES - Breakeven rising","NO - Real yield driving")</f>
        <v>YES - Breakeven rising</v>
      </c>
    </row>
    <row r="8" customFormat="false" ht="15" hidden="false" customHeight="true" outlineLevel="0" collapsed="false">
      <c r="A8" s="17" t="s">
        <v>120</v>
      </c>
      <c r="B8" s="12" t="n">
        <v>3.98</v>
      </c>
      <c r="C8" s="12" t="n">
        <v>1.8</v>
      </c>
      <c r="D8" s="12" t="n">
        <v>2.18</v>
      </c>
      <c r="E8" s="18" t="n">
        <f aca="false">B8-C8-D8</f>
        <v>0</v>
      </c>
      <c r="F8" s="14" t="str">
        <f aca="false">IF(D8&gt;D6,"YES - Breakeven rising","NO - Real yield driving")</f>
        <v>YES - Breakeven rising</v>
      </c>
    </row>
    <row r="9" customFormat="false" ht="15" hidden="false" customHeight="true" outlineLevel="0" collapsed="false">
      <c r="A9" s="17" t="s">
        <v>121</v>
      </c>
      <c r="B9" s="12" t="n">
        <v>4</v>
      </c>
      <c r="C9" s="12" t="n">
        <v>1.78</v>
      </c>
      <c r="D9" s="12" t="n">
        <v>2.22</v>
      </c>
      <c r="E9" s="18" t="n">
        <f aca="false">B9-C9-D9</f>
        <v>0</v>
      </c>
      <c r="F9" s="14" t="str">
        <f aca="false">IF(D9&gt;D6,"YES - Breakeven rising","NO - Real yield driving")</f>
        <v>YES - Breakeven rising</v>
      </c>
    </row>
    <row r="10" customFormat="false" ht="15" hidden="false" customHeight="true" outlineLevel="0" collapsed="false">
      <c r="A10" s="17" t="s">
        <v>122</v>
      </c>
      <c r="B10" s="12" t="n">
        <v>4.2</v>
      </c>
      <c r="C10" s="12" t="n">
        <v>1.65</v>
      </c>
      <c r="D10" s="12" t="n">
        <v>2.55</v>
      </c>
      <c r="E10" s="18" t="n">
        <f aca="false">B10-C10-D10</f>
        <v>0</v>
      </c>
      <c r="F10" s="14" t="str">
        <f aca="false">IF(D10&gt;D6,"YES - Breakeven rising","NO - Real yield driving")</f>
        <v>YES - Breakeven rising</v>
      </c>
    </row>
    <row r="11" customFormat="false" ht="15" hidden="false" customHeight="true" outlineLevel="0" collapsed="false">
      <c r="A11" s="17" t="s">
        <v>123</v>
      </c>
      <c r="B11" s="12" t="n">
        <v>4.4</v>
      </c>
      <c r="C11" s="12" t="n">
        <v>1.55</v>
      </c>
      <c r="D11" s="12" t="n">
        <v>2.85</v>
      </c>
      <c r="E11" s="18" t="n">
        <f aca="false">B11-C11-D11</f>
        <v>0</v>
      </c>
      <c r="F11" s="14" t="str">
        <f aca="false">IF(D11&gt;D6,"YES - Breakeven rising","NO - Real yield driving")</f>
        <v>YES - Breakeven rising</v>
      </c>
    </row>
    <row r="12" customFormat="false" ht="15" hidden="false" customHeight="true" outlineLevel="0" collapsed="false">
      <c r="A12" s="17" t="s">
        <v>124</v>
      </c>
      <c r="B12" s="12" t="n">
        <v>4.3</v>
      </c>
      <c r="C12" s="12" t="n">
        <v>1.6</v>
      </c>
      <c r="D12" s="12" t="n">
        <v>2.7</v>
      </c>
      <c r="E12" s="18" t="n">
        <f aca="false">B12-C12-D12</f>
        <v>0</v>
      </c>
      <c r="F12" s="14" t="str">
        <f aca="false">IF(D12&gt;D6,"YES - Breakeven rising","NO - Real yield driving")</f>
        <v>YES - Breakeven rising</v>
      </c>
    </row>
    <row r="13" customFormat="false" ht="15" hidden="false" customHeight="true" outlineLevel="0" collapsed="false">
      <c r="A13" s="17" t="s">
        <v>125</v>
      </c>
      <c r="B13" s="12" t="n">
        <v>4.34</v>
      </c>
      <c r="C13" s="12" t="n">
        <v>1.58</v>
      </c>
      <c r="D13" s="12" t="n">
        <v>2.76</v>
      </c>
      <c r="E13" s="18" t="n">
        <f aca="false">B13-C13-D13</f>
        <v>0</v>
      </c>
      <c r="F13" s="14" t="str">
        <f aca="false">IF(D13&gt;D6,"YES - Breakeven rising","NO - Real yield driving")</f>
        <v>YES - Breakeven rising</v>
      </c>
    </row>
    <row r="16" customFormat="false" ht="15" hidden="false" customHeight="true" outlineLevel="0" collapsed="false">
      <c r="A16" s="3" t="s">
        <v>126</v>
      </c>
    </row>
    <row r="17" customFormat="false" ht="15" hidden="false" customHeight="true" outlineLevel="0" collapsed="false">
      <c r="A17" s="1" t="s">
        <v>127</v>
      </c>
    </row>
    <row r="18" customFormat="false" ht="15" hidden="false" customHeight="true" outlineLevel="0" collapsed="false">
      <c r="A18" s="1" t="s">
        <v>128</v>
      </c>
    </row>
    <row r="19" customFormat="false" ht="15" hidden="false" customHeight="true" outlineLevel="0" collapsed="false">
      <c r="A19" s="1" t="s">
        <v>129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130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9" t="s">
        <v>131</v>
      </c>
    </row>
    <row r="4" customFormat="false" ht="15" hidden="false" customHeight="true" outlineLevel="0" collapsed="false">
      <c r="A4" s="3" t="s">
        <v>132</v>
      </c>
    </row>
    <row r="5" customFormat="false" ht="15" hidden="false" customHeight="true" outlineLevel="0" collapsed="false">
      <c r="A5" s="11" t="s">
        <v>133</v>
      </c>
      <c r="B5" s="20" t="n">
        <v>110</v>
      </c>
      <c r="C5" s="10" t="s">
        <v>134</v>
      </c>
    </row>
    <row r="6" customFormat="false" ht="15" hidden="false" customHeight="true" outlineLevel="0" collapsed="false">
      <c r="A6" s="11" t="s">
        <v>135</v>
      </c>
      <c r="B6" s="21" t="n">
        <v>3</v>
      </c>
      <c r="C6" s="10" t="s">
        <v>136</v>
      </c>
    </row>
    <row r="7" customFormat="false" ht="15" hidden="false" customHeight="true" outlineLevel="0" collapsed="false">
      <c r="A7" s="11" t="s">
        <v>137</v>
      </c>
      <c r="B7" s="20" t="n">
        <v>10</v>
      </c>
      <c r="C7" s="10" t="s">
        <v>138</v>
      </c>
    </row>
    <row r="8" customFormat="false" ht="15" hidden="false" customHeight="true" outlineLevel="0" collapsed="false">
      <c r="A8" s="11" t="s">
        <v>139</v>
      </c>
      <c r="B8" s="20" t="n">
        <v>0.5</v>
      </c>
      <c r="C8" s="10" t="s">
        <v>140</v>
      </c>
    </row>
    <row r="9" customFormat="false" ht="15" hidden="false" customHeight="true" outlineLevel="0" collapsed="false">
      <c r="A9" s="11" t="s">
        <v>141</v>
      </c>
      <c r="B9" s="20" t="n">
        <v>0.3</v>
      </c>
      <c r="C9" s="10" t="s">
        <v>142</v>
      </c>
    </row>
    <row r="10" customFormat="false" ht="15" hidden="false" customHeight="true" outlineLevel="0" collapsed="false">
      <c r="A10" s="11" t="s">
        <v>143</v>
      </c>
      <c r="B10" s="20" t="n">
        <v>2.4</v>
      </c>
      <c r="C10" s="10" t="s">
        <v>144</v>
      </c>
    </row>
    <row r="11" customFormat="false" ht="15" hidden="false" customHeight="true" outlineLevel="0" collapsed="false">
      <c r="A11" s="11" t="s">
        <v>145</v>
      </c>
      <c r="B11" s="20" t="n">
        <v>3.98</v>
      </c>
      <c r="C11" s="10" t="s">
        <v>146</v>
      </c>
    </row>
    <row r="12" customFormat="false" ht="15" hidden="false" customHeight="true" outlineLevel="0" collapsed="false">
      <c r="A12" s="11" t="s">
        <v>147</v>
      </c>
      <c r="B12" s="20" t="n">
        <v>2.4</v>
      </c>
      <c r="C12" s="10" t="s">
        <v>148</v>
      </c>
    </row>
    <row r="13" customFormat="false" ht="15" hidden="false" customHeight="true" outlineLevel="0" collapsed="false">
      <c r="A13" s="11" t="s">
        <v>149</v>
      </c>
      <c r="B13" s="21" t="n">
        <v>0.65</v>
      </c>
      <c r="C13" s="10" t="s">
        <v>150</v>
      </c>
    </row>
    <row r="14" customFormat="false" ht="15" hidden="false" customHeight="true" outlineLevel="0" collapsed="false">
      <c r="A14" s="11" t="s">
        <v>151</v>
      </c>
      <c r="B14" s="21" t="n">
        <v>0.04</v>
      </c>
      <c r="C14" s="10" t="s">
        <v>152</v>
      </c>
    </row>
    <row r="15" customFormat="false" ht="15" hidden="false" customHeight="true" outlineLevel="0" collapsed="false">
      <c r="A15" s="11" t="s">
        <v>153</v>
      </c>
      <c r="B15" s="20" t="n">
        <v>7.5</v>
      </c>
      <c r="C15" s="10" t="s">
        <v>154</v>
      </c>
    </row>
    <row r="18" customFormat="false" ht="15" hidden="false" customHeight="true" outlineLevel="0" collapsed="false">
      <c r="A18" s="3" t="s">
        <v>155</v>
      </c>
    </row>
    <row r="19" customFormat="false" ht="15" hidden="false" customHeight="true" outlineLevel="0" collapsed="false">
      <c r="A19" s="11" t="s">
        <v>156</v>
      </c>
      <c r="B19" s="14" t="n">
        <f aca="false">B5-72</f>
        <v>38</v>
      </c>
    </row>
    <row r="20" customFormat="false" ht="15" hidden="false" customHeight="true" outlineLevel="0" collapsed="false">
      <c r="A20" s="11" t="s">
        <v>157</v>
      </c>
      <c r="B20" s="18" t="n">
        <f aca="false">B19*B14</f>
        <v>1.52</v>
      </c>
    </row>
    <row r="21" customFormat="false" ht="15" hidden="false" customHeight="true" outlineLevel="0" collapsed="false">
      <c r="A21" s="11" t="s">
        <v>158</v>
      </c>
      <c r="B21" s="18" t="n">
        <f aca="false">B10+B20</f>
        <v>3.92</v>
      </c>
    </row>
    <row r="22" customFormat="false" ht="15" hidden="false" customHeight="true" outlineLevel="0" collapsed="false">
      <c r="A22" s="11" t="s">
        <v>159</v>
      </c>
      <c r="B22" s="18" t="n">
        <f aca="false">B20*B13</f>
        <v>0.988</v>
      </c>
    </row>
    <row r="23" customFormat="false" ht="15" hidden="false" customHeight="true" outlineLevel="0" collapsed="false">
      <c r="A23" s="11" t="s">
        <v>160</v>
      </c>
      <c r="B23" s="18" t="n">
        <f aca="false">B11+B22</f>
        <v>4.968</v>
      </c>
    </row>
    <row r="24" customFormat="false" ht="15" hidden="false" customHeight="true" outlineLevel="0" collapsed="false">
      <c r="A24" s="11" t="s">
        <v>161</v>
      </c>
      <c r="B24" s="18" t="n">
        <f aca="false">MAX(0,(B5-80)*0.005)</f>
        <v>0.15</v>
      </c>
    </row>
    <row r="25" customFormat="false" ht="15" hidden="false" customHeight="true" outlineLevel="0" collapsed="false">
      <c r="A25" s="11" t="s">
        <v>162</v>
      </c>
      <c r="B25" s="18" t="n">
        <f aca="false">B12-B24</f>
        <v>2.25</v>
      </c>
    </row>
    <row r="26" customFormat="false" ht="15" hidden="false" customHeight="true" outlineLevel="0" collapsed="false">
      <c r="A26" s="11" t="s">
        <v>163</v>
      </c>
      <c r="B26" s="22" t="n">
        <f aca="false">10*(1-B7/100)-B8-B9</f>
        <v>8.2</v>
      </c>
    </row>
    <row r="27" customFormat="false" ht="15" hidden="false" customHeight="true" outlineLevel="0" collapsed="false">
      <c r="A27" s="11" t="s">
        <v>164</v>
      </c>
      <c r="B27" s="22" t="n">
        <f aca="false">B26*B6*30</f>
        <v>738</v>
      </c>
    </row>
    <row r="28" customFormat="false" ht="15" hidden="false" customHeight="true" outlineLevel="0" collapsed="false">
      <c r="A28" s="11" t="s">
        <v>165</v>
      </c>
      <c r="B28" s="14" t="n">
        <f aca="false">B20-B24</f>
        <v>1.37</v>
      </c>
    </row>
    <row r="31" customFormat="false" ht="15" hidden="false" customHeight="true" outlineLevel="0" collapsed="false">
      <c r="A31" s="3" t="s">
        <v>166</v>
      </c>
    </row>
    <row r="32" customFormat="false" ht="15" hidden="false" customHeight="true" outlineLevel="0" collapsed="false">
      <c r="A32" s="1" t="str">
        <f aca="false">IF(B28&gt;1.5,"🔴 SEVERE STAGFLATION: Inflation dominates. Yields likely to rise sharply.",IF(B28&gt;0.5,"🟡 MODERATE STAGFLATION: Inflation edge. Yields volatile, bias higher.",IF(B28&gt;-0.5,"🟢 BALANCED: Competing forces roughly equal. Maximum uncertainty.","🔵 RECESSION RISK: Growth drag dominates. Yields may fall as rate cuts priced in.")))</f>
        <v>🟡 MODERATE STAGFLATION: Inflation edge. Yields volatile, bias higher.</v>
      </c>
    </row>
    <row r="35" customFormat="false" ht="15" hidden="false" customHeight="true" outlineLevel="0" collapsed="false">
      <c r="A35" s="3" t="s">
        <v>167</v>
      </c>
    </row>
    <row r="36" customFormat="false" ht="15" hidden="false" customHeight="true" outlineLevel="0" collapsed="false">
      <c r="A36" s="5" t="s">
        <v>168</v>
      </c>
      <c r="B36" s="5" t="s">
        <v>169</v>
      </c>
      <c r="C36" s="5" t="s">
        <v>170</v>
      </c>
      <c r="D36" s="5" t="s">
        <v>171</v>
      </c>
      <c r="E36" s="5" t="s">
        <v>172</v>
      </c>
    </row>
    <row r="37" customFormat="false" ht="15" hidden="false" customHeight="true" outlineLevel="0" collapsed="false">
      <c r="A37" s="6" t="s">
        <v>173</v>
      </c>
      <c r="B37" s="23" t="n">
        <v>80</v>
      </c>
      <c r="C37" s="23" t="n">
        <v>1</v>
      </c>
      <c r="D37" s="23" t="n">
        <v>60</v>
      </c>
      <c r="E37" s="6" t="s">
        <v>174</v>
      </c>
    </row>
    <row r="38" customFormat="false" ht="15" hidden="false" customHeight="true" outlineLevel="0" collapsed="false">
      <c r="A38" s="6" t="s">
        <v>175</v>
      </c>
      <c r="B38" s="23" t="n">
        <v>110</v>
      </c>
      <c r="C38" s="23" t="n">
        <v>3</v>
      </c>
      <c r="D38" s="23" t="n">
        <v>10</v>
      </c>
      <c r="E38" s="6" t="s">
        <v>176</v>
      </c>
    </row>
    <row r="39" customFormat="false" ht="15" hidden="false" customHeight="true" outlineLevel="0" collapsed="false">
      <c r="A39" s="6" t="s">
        <v>177</v>
      </c>
      <c r="B39" s="23" t="n">
        <v>130</v>
      </c>
      <c r="C39" s="23" t="n">
        <v>6</v>
      </c>
      <c r="D39" s="23" t="n">
        <v>5</v>
      </c>
      <c r="E39" s="6" t="s">
        <v>178</v>
      </c>
    </row>
    <row r="40" customFormat="false" ht="15" hidden="false" customHeight="true" outlineLevel="0" collapsed="false">
      <c r="A40" s="6" t="s">
        <v>179</v>
      </c>
      <c r="B40" s="23" t="n">
        <v>150</v>
      </c>
      <c r="C40" s="23" t="n">
        <v>12</v>
      </c>
      <c r="D40" s="23" t="n">
        <v>0</v>
      </c>
      <c r="E40" s="6" t="s">
        <v>180</v>
      </c>
    </row>
    <row r="41" customFormat="false" ht="15" hidden="false" customHeight="true" outlineLevel="0" collapsed="false">
      <c r="A41" s="6" t="s">
        <v>181</v>
      </c>
      <c r="B41" s="23" t="n">
        <v>120</v>
      </c>
      <c r="C41" s="23" t="n">
        <v>9</v>
      </c>
      <c r="D41" s="23" t="n">
        <v>15</v>
      </c>
      <c r="E41" s="6" t="s">
        <v>182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24"/>
  </cols>
  <sheetData>
    <row r="1" customFormat="false" ht="17.25" hidden="false" customHeight="true" outlineLevel="0" collapsed="false">
      <c r="A1" s="2" t="s">
        <v>183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24" t="s">
        <v>184</v>
      </c>
    </row>
    <row r="4" customFormat="false" ht="15" hidden="false" customHeight="true" outlineLevel="0" collapsed="false">
      <c r="A4" s="5" t="s">
        <v>87</v>
      </c>
      <c r="B4" s="5" t="s">
        <v>84</v>
      </c>
      <c r="C4" s="5" t="s">
        <v>185</v>
      </c>
      <c r="D4" s="5" t="s">
        <v>186</v>
      </c>
      <c r="E4" s="5" t="s">
        <v>187</v>
      </c>
    </row>
    <row r="5" customFormat="false" ht="15" hidden="false" customHeight="true" outlineLevel="0" collapsed="false">
      <c r="A5" s="6" t="s">
        <v>188</v>
      </c>
      <c r="B5" s="21" t="n">
        <v>2.76</v>
      </c>
      <c r="C5" s="25" t="n">
        <v>2.5</v>
      </c>
      <c r="D5" s="26" t="str">
        <f aca="false">IF(B5&gt;C5,"YES ⚠️","No")</f>
        <v>YES ⚠️</v>
      </c>
      <c r="E5" s="26" t="n">
        <v>1</v>
      </c>
    </row>
    <row r="6" customFormat="false" ht="15" hidden="false" customHeight="true" outlineLevel="0" collapsed="false">
      <c r="A6" s="6" t="s">
        <v>189</v>
      </c>
      <c r="B6" s="21" t="n">
        <v>110</v>
      </c>
      <c r="C6" s="25" t="n">
        <v>100</v>
      </c>
      <c r="D6" s="26" t="str">
        <f aca="false">IF(B6&gt;C6,"YES ⚠️","No")</f>
        <v>YES ⚠️</v>
      </c>
      <c r="E6" s="26" t="n">
        <v>1</v>
      </c>
    </row>
    <row r="7" customFormat="false" ht="15" hidden="false" customHeight="true" outlineLevel="0" collapsed="false">
      <c r="A7" s="6" t="s">
        <v>190</v>
      </c>
      <c r="B7" s="21" t="n">
        <v>2.4</v>
      </c>
      <c r="C7" s="25" t="n">
        <v>2</v>
      </c>
      <c r="D7" s="26" t="str">
        <f aca="false">IF(B7&gt;C7,"YES ⚠️","No")</f>
        <v>YES ⚠️</v>
      </c>
      <c r="E7" s="26" t="n">
        <v>1</v>
      </c>
    </row>
    <row r="8" customFormat="false" ht="15" hidden="false" customHeight="true" outlineLevel="0" collapsed="false">
      <c r="A8" s="6" t="s">
        <v>191</v>
      </c>
      <c r="B8" s="21" t="n">
        <v>1.3</v>
      </c>
      <c r="C8" s="25" t="n">
        <v>0.5</v>
      </c>
      <c r="D8" s="26" t="str">
        <f aca="false">IF(B8&gt;C8,"YES ⚠️","No")</f>
        <v>YES ⚠️</v>
      </c>
      <c r="E8" s="26" t="n">
        <v>1</v>
      </c>
    </row>
    <row r="9" customFormat="false" ht="15" hidden="false" customHeight="true" outlineLevel="0" collapsed="false">
      <c r="A9" s="6" t="s">
        <v>192</v>
      </c>
      <c r="B9" s="21" t="n">
        <v>1.8</v>
      </c>
      <c r="C9" s="25" t="n">
        <v>1</v>
      </c>
      <c r="D9" s="26" t="str">
        <f aca="false">IF(B9&gt;C9,"YES ⚠️","No")</f>
        <v>YES ⚠️</v>
      </c>
      <c r="E9" s="26" t="n">
        <v>1</v>
      </c>
    </row>
    <row r="10" customFormat="false" ht="15" hidden="false" customHeight="true" outlineLevel="0" collapsed="false">
      <c r="A10" s="6" t="s">
        <v>193</v>
      </c>
      <c r="B10" s="21"/>
      <c r="C10" s="25"/>
      <c r="D10" s="26" t="s">
        <v>194</v>
      </c>
      <c r="E10" s="26" t="n">
        <v>1</v>
      </c>
    </row>
    <row r="12" customFormat="false" ht="15" hidden="false" customHeight="true" outlineLevel="0" collapsed="false">
      <c r="A12" s="27" t="s">
        <v>195</v>
      </c>
      <c r="B12" s="1" t="n">
        <f aca="false">COUNTIF(D5:D10,"YES ⚠️")</f>
        <v>5</v>
      </c>
      <c r="C12" s="1" t="s">
        <v>196</v>
      </c>
    </row>
    <row r="14" customFormat="false" ht="15" hidden="false" customHeight="true" outlineLevel="0" collapsed="false">
      <c r="A14" s="28" t="s">
        <v>197</v>
      </c>
    </row>
    <row r="15" customFormat="false" ht="15" hidden="false" customHeight="true" outlineLevel="0" collapsed="false">
      <c r="A15" s="5" t="s">
        <v>87</v>
      </c>
      <c r="B15" s="5" t="s">
        <v>84</v>
      </c>
      <c r="C15" s="5" t="s">
        <v>185</v>
      </c>
      <c r="D15" s="5" t="s">
        <v>186</v>
      </c>
      <c r="E15" s="5" t="s">
        <v>187</v>
      </c>
    </row>
    <row r="16" customFormat="false" ht="15" hidden="false" customHeight="true" outlineLevel="0" collapsed="false">
      <c r="A16" s="6" t="s">
        <v>198</v>
      </c>
      <c r="B16" s="21" t="n">
        <v>24</v>
      </c>
      <c r="C16" s="25" t="n">
        <v>0</v>
      </c>
      <c r="D16" s="26" t="str">
        <f aca="false">IF(B16&lt;C16,"YES ⚠️","No")</f>
        <v>No</v>
      </c>
      <c r="E16" s="26" t="n">
        <v>1</v>
      </c>
    </row>
    <row r="17" customFormat="false" ht="15" hidden="false" customHeight="true" outlineLevel="0" collapsed="false">
      <c r="A17" s="6" t="s">
        <v>199</v>
      </c>
      <c r="B17" s="21" t="n">
        <v>-0.1</v>
      </c>
      <c r="C17" s="25" t="n">
        <v>-0.3</v>
      </c>
      <c r="D17" s="26" t="str">
        <f aca="false">IF(B17&lt;C17,"YES ⚠️","No")</f>
        <v>No</v>
      </c>
      <c r="E17" s="26" t="n">
        <v>1</v>
      </c>
    </row>
    <row r="18" customFormat="false" ht="15" hidden="false" customHeight="true" outlineLevel="0" collapsed="false">
      <c r="A18" s="6" t="s">
        <v>200</v>
      </c>
      <c r="B18" s="21"/>
      <c r="C18" s="25"/>
      <c r="D18" s="26" t="s">
        <v>194</v>
      </c>
      <c r="E18" s="26" t="n">
        <v>1</v>
      </c>
    </row>
    <row r="19" customFormat="false" ht="15" hidden="false" customHeight="true" outlineLevel="0" collapsed="false">
      <c r="A19" s="6" t="s">
        <v>201</v>
      </c>
      <c r="B19" s="21"/>
      <c r="C19" s="25" t="n">
        <v>250</v>
      </c>
      <c r="D19" s="26" t="s">
        <v>194</v>
      </c>
      <c r="E19" s="26" t="n">
        <v>1</v>
      </c>
    </row>
    <row r="20" customFormat="false" ht="15" hidden="false" customHeight="true" outlineLevel="0" collapsed="false">
      <c r="A20" s="6" t="s">
        <v>202</v>
      </c>
      <c r="B20" s="21"/>
      <c r="C20" s="25" t="n">
        <v>50</v>
      </c>
      <c r="D20" s="26" t="s">
        <v>194</v>
      </c>
      <c r="E20" s="26" t="n">
        <v>1</v>
      </c>
    </row>
    <row r="21" customFormat="false" ht="15" hidden="false" customHeight="true" outlineLevel="0" collapsed="false">
      <c r="A21" s="6" t="s">
        <v>203</v>
      </c>
      <c r="B21" s="21"/>
      <c r="C21" s="25"/>
      <c r="D21" s="26" t="s">
        <v>194</v>
      </c>
      <c r="E21" s="26" t="n">
        <v>1</v>
      </c>
    </row>
    <row r="23" customFormat="false" ht="15" hidden="false" customHeight="true" outlineLevel="0" collapsed="false">
      <c r="A23" s="29" t="s">
        <v>204</v>
      </c>
      <c r="B23" s="1" t="n">
        <f aca="false">COUNTIF(D16:D21,"YES ⚠️")</f>
        <v>0</v>
      </c>
      <c r="C23" s="1" t="s">
        <v>196</v>
      </c>
    </row>
    <row r="26" customFormat="false" ht="15" hidden="false" customHeight="true" outlineLevel="0" collapsed="false">
      <c r="A26" s="3" t="s">
        <v>205</v>
      </c>
    </row>
    <row r="27" customFormat="false" ht="15" hidden="false" customHeight="true" outlineLevel="0" collapsed="false">
      <c r="A27" s="1" t="s">
        <v>206</v>
      </c>
      <c r="B27" s="1" t="n">
        <f aca="false">B12-B23</f>
        <v>5</v>
      </c>
    </row>
    <row r="28" customFormat="false" ht="15" hidden="false" customHeight="true" outlineLevel="0" collapsed="false">
      <c r="A28" s="1" t="s">
        <v>207</v>
      </c>
      <c r="B28" s="30" t="str">
        <f aca="false">IF(B27&gt;=3,"🔴 STRONG INFLATION REGIME",IF(B27&gt;=1,"🟡 INFLATION LEANING",IF(B27&gt;=-1,"⚪ TOSS-UP / MAXIMUM UNCERTAINTY",IF(B27&gt;=-3,"🟢 RECESSION LEANING","🔵 STRONG RECESSION REGIME"))))</f>
        <v>🔴 STRONG INFLATION REGIME</v>
      </c>
      <c r="C28" s="30"/>
      <c r="D28" s="30"/>
      <c r="E28" s="30"/>
    </row>
    <row r="30" customFormat="false" ht="15" hidden="false" customHeight="true" outlineLevel="0" collapsed="false">
      <c r="A30" s="3" t="s">
        <v>208</v>
      </c>
    </row>
    <row r="31" customFormat="false" ht="15" hidden="false" customHeight="true" outlineLevel="0" collapsed="false">
      <c r="A31" s="31" t="str">
        <f aca="false">IF(B27&gt;=2,"SHORT duration, OVERWEIGHT TIPS, UNDERWEIGHT gilts/energy importers",IF(B27&gt;=0,"NEUTRAL duration, DIVERSIFY across maturities, HEDGE with commodities",IF(B27&gt;=-2,"OVERWEIGHT longer duration, CONSIDER rate-sensitive equities","LONG duration, OVERWEIGHT safe havens, REDUCE credit risk")))</f>
        <v>SHORT duration, OVERWEIGHT TIPS, UNDERWEIGHT gilts/energy importers</v>
      </c>
      <c r="B31" s="31"/>
      <c r="C31" s="31"/>
      <c r="D31" s="31"/>
      <c r="E31" s="31"/>
    </row>
  </sheetData>
  <mergeCells count="3">
    <mergeCell ref="A1:G1"/>
    <mergeCell ref="B28:E28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2026-04-08T06:27:32Z</dcterms:created>
  <dc:creator>openpyxl</dc:creator>
  <dc:description/>
  <dc:language>en-US</dc:language>
  <cp:lastModifiedBy/>
  <dcterms:modified xsi:type="dcterms:W3CDTF">2026-04-08T06:27:52Z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